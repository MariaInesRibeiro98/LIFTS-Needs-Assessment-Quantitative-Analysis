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m_i_da_graca_jorge_da_silva_ribeiro_tue_nl/Documents/Documents/Research Studies/NeedsAssessment/RQ1_Results/RQ1_Validation/"/>
    </mc:Choice>
  </mc:AlternateContent>
  <xr:revisionPtr revIDLastSave="215" documentId="8_{535C2782-BEED-4B7A-84D5-A45B580298EB}" xr6:coauthVersionLast="47" xr6:coauthVersionMax="47" xr10:uidLastSave="{50D2BD6F-871E-45DA-8D7A-6E49D84D4646}"/>
  <bookViews>
    <workbookView xWindow="28680" yWindow="-1740" windowWidth="29040" windowHeight="15720" xr2:uid="{3D1166AF-3AF1-4FB6-880D-6614653C0D6E}"/>
    <workbookView xWindow="28680" yWindow="-1740" windowWidth="29040" windowHeight="15720" xr2:uid="{BD68A9C7-33C8-4130-8B8C-C3ABAF851A73}"/>
  </bookViews>
  <sheets>
    <sheet name="Overview" sheetId="3" r:id="rId1"/>
    <sheet name="gender_difference_analysis_resu" sheetId="5" r:id="rId2"/>
    <sheet name="Sheet1" sheetId="4" r:id="rId3"/>
  </sheets>
  <definedNames>
    <definedName name="ExternalData_1" localSheetId="1" hidden="1">gender_difference_analysis_resu!$A$1:$J$13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F23" i="3" s="1"/>
  <c r="E24" i="3"/>
  <c r="E25" i="3"/>
  <c r="E26" i="3"/>
  <c r="F25" i="3" s="1"/>
  <c r="E27" i="3"/>
  <c r="E28" i="3"/>
  <c r="E29" i="3"/>
  <c r="E30" i="3"/>
  <c r="E31" i="3"/>
  <c r="E32" i="3"/>
  <c r="F32" i="3" s="1"/>
  <c r="E33" i="3"/>
  <c r="E34" i="3"/>
  <c r="E35" i="3"/>
  <c r="E36" i="3"/>
  <c r="E37" i="3"/>
  <c r="E38" i="3"/>
  <c r="E3" i="3"/>
  <c r="H3" i="3"/>
  <c r="F20" i="3"/>
  <c r="F14" i="3" l="1"/>
  <c r="F38" i="3"/>
  <c r="F9" i="3"/>
  <c r="F26" i="3"/>
  <c r="F34" i="3"/>
  <c r="F8" i="3"/>
  <c r="F33" i="3"/>
  <c r="F35" i="3"/>
  <c r="F31" i="3"/>
  <c r="F28" i="3"/>
  <c r="F30" i="3"/>
  <c r="F24" i="3"/>
  <c r="F13" i="3"/>
  <c r="F12" i="3"/>
  <c r="F11" i="3"/>
  <c r="F17" i="3"/>
  <c r="F10" i="3"/>
  <c r="F16" i="3"/>
  <c r="F6" i="3"/>
  <c r="F7" i="3"/>
  <c r="F19" i="3"/>
  <c r="F37" i="3"/>
  <c r="F36" i="3"/>
  <c r="F15" i="3"/>
  <c r="F27" i="3"/>
  <c r="F22" i="3"/>
  <c r="F21" i="3"/>
  <c r="F18" i="3"/>
  <c r="F29" i="3"/>
  <c r="F3" i="3"/>
  <c r="F5" i="3"/>
  <c r="F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C36C0E-AE4E-4488-B5EF-36D9ED7FE3C8}" keepAlive="1" name="Query - gender_difference_analysis_results" description="Connection to the 'gender_difference_analysis_results' query in the workbook." type="5" refreshedVersion="8" background="1" saveData="1">
    <dbPr connection="Provider=Microsoft.Mashup.OleDb.1;Data Source=$Workbook$;Location=gender_difference_analysis_results;Extended Properties=&quot;&quot;" command="SELECT * FROM [gender_difference_analysis_results]"/>
  </connection>
</connections>
</file>

<file path=xl/sharedStrings.xml><?xml version="1.0" encoding="utf-8"?>
<sst xmlns="http://schemas.openxmlformats.org/spreadsheetml/2006/main" count="141" uniqueCount="79">
  <si>
    <t>Total</t>
  </si>
  <si>
    <t>Male</t>
  </si>
  <si>
    <t>Female</t>
  </si>
  <si>
    <t>Question</t>
  </si>
  <si>
    <t>Categorical Answers</t>
  </si>
  <si>
    <t>A</t>
  </si>
  <si>
    <t>B</t>
  </si>
  <si>
    <t>C</t>
  </si>
  <si>
    <t>Q1</t>
  </si>
  <si>
    <t>Q2</t>
  </si>
  <si>
    <t>Q3</t>
  </si>
  <si>
    <t>Q4</t>
  </si>
  <si>
    <t>Q5</t>
  </si>
  <si>
    <t>Q6</t>
  </si>
  <si>
    <t>Q7</t>
  </si>
  <si>
    <t>Q8</t>
  </si>
  <si>
    <t>Q11</t>
  </si>
  <si>
    <t>Q10</t>
  </si>
  <si>
    <t>Q9</t>
  </si>
  <si>
    <t>Q12</t>
  </si>
  <si>
    <t>I like sports! I enjoy playing and always have a good time!</t>
  </si>
  <si>
    <t>It depends on the sport. Some are fun while others a bit boring</t>
  </si>
  <si>
    <t>Sometimes sport can be boring for me. I don't always find it exciting...</t>
  </si>
  <si>
    <t>I think... mwah... I don't really like any sport</t>
  </si>
  <si>
    <t>I like the same sports as many other people</t>
  </si>
  <si>
    <t>I like sports, but the popular sports are not fun</t>
  </si>
  <si>
    <t>... say things like "Sport is healthy" or "Well done!" or "You can do it!"</t>
  </si>
  <si>
    <t>... sports or exercise with me. This makes sports more fun.</t>
  </si>
  <si>
    <t>... almost never talk about sports. This makes me insecure.</t>
  </si>
  <si>
    <t>I like to play with my friends.</t>
  </si>
  <si>
    <t>My friends prefer to do other things like chill or just hang out</t>
  </si>
  <si>
    <t>I'm a bit in between.</t>
  </si>
  <si>
    <t>I prefer to rest or do other things</t>
  </si>
  <si>
    <t>I often have to work or help out at my internship or at home</t>
  </si>
  <si>
    <t>I have time and desire to exercise and exercise</t>
  </si>
  <si>
    <t>Good. I want to exercise to get fit or look good</t>
  </si>
  <si>
    <t>Okay, but sometimes I worry about how I look while exercising</t>
  </si>
  <si>
    <t>A little uncomfortable...</t>
  </si>
  <si>
    <t>I don't really believe I'm good at sports</t>
  </si>
  <si>
    <t>I believe I can exercise well</t>
  </si>
  <si>
    <t>A little, but sometimes I doubt myself and my skills</t>
  </si>
  <si>
    <t>Close by, which makes it easy to start exercising</t>
  </si>
  <si>
    <t>Far, so it's hard to get there</t>
  </si>
  <si>
    <t>They explain why sport is healthy and important. They motivate us.</t>
  </si>
  <si>
    <t>Sometimes they talk about sports and health, but not very often.</t>
  </si>
  <si>
    <t>They don't talk about it in class and don't know what I do for sports</t>
  </si>
  <si>
    <t>I prefer to rest, hang out with my friends or eat. Breaks are quite short.</t>
  </si>
  <si>
    <t>I like to play sports with the ball or I walk outside. It keeps me active.</t>
  </si>
  <si>
    <t>I want to play sports but the available sports are not very nice...</t>
  </si>
  <si>
    <t>I want to go home. I'd rather do other things, or be outside with friends.</t>
  </si>
  <si>
    <t>I have to be somewhere else, such as working, internship or helping at home.</t>
  </si>
  <si>
    <t>I like to stay if there are fun free sports. It gives me something to do.</t>
  </si>
  <si>
    <t>By bike or walking, which is already good exercise for me</t>
  </si>
  <si>
    <t>By car or bus. It's more convenient...</t>
  </si>
  <si>
    <t>I use a fat bike or an E-bike, so I don't move around much...</t>
  </si>
  <si>
    <t>How do you go to school?</t>
  </si>
  <si>
    <t>What do you do at school after school?</t>
  </si>
  <si>
    <t>What do your teachers do to motivate you for sports?</t>
  </si>
  <si>
    <t>How far are the sports spots from you?</t>
  </si>
  <si>
    <t>How confident are you about sports?</t>
  </si>
  <si>
    <t>How do you feel about your body and exercise?</t>
  </si>
  <si>
    <t>What do you want to do after school?</t>
  </si>
  <si>
    <t>How important are friends to you in sports?</t>
  </si>
  <si>
    <t>What do your parents do to support you in sports? My parents...</t>
  </si>
  <si>
    <t>What do you think about popular sports?</t>
  </si>
  <si>
    <t>How much do you like sports?</t>
  </si>
  <si>
    <t>Relative</t>
  </si>
  <si>
    <t>Chi2_Statistic</t>
  </si>
  <si>
    <t>P_Value</t>
  </si>
  <si>
    <t>Degrees_of_Freedom</t>
  </si>
  <si>
    <t>Sample_Size</t>
  </si>
  <si>
    <t>Statistical_Power</t>
  </si>
  <si>
    <t>Cramers_V_Effect_Size</t>
  </si>
  <si>
    <t>Insufficient_Data</t>
  </si>
  <si>
    <t>Reason</t>
  </si>
  <si>
    <t>Significant_at_0.05</t>
  </si>
  <si>
    <t>Test completed successfully</t>
  </si>
  <si>
    <t>Gender</t>
  </si>
  <si>
    <t>What do you do at school during breaks?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</si>
</sst>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readingOrder="1"/>
    </xf>
    <xf numFmtId="0" fontId="3" fillId="0" borderId="0" xfId="0" applyFont="1"/>
    <xf numFmtId="0" fontId="1" fillId="0" borderId="0" xfId="0" applyFont="1" applyAlignment="1">
      <alignment horizontal="right"/>
    </xf>
    <xf numFmtId="9" fontId="1" fillId="0" borderId="0" xfId="1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64ED8D-E725-4D9F-83A7-8B2586282E74}" autoFormatId="16" applyNumberFormats="0" applyBorderFormats="0" applyFontFormats="0" applyPatternFormats="0" applyAlignmentFormats="0" applyWidthHeightFormats="0">
  <queryTableRefresh nextId="11">
    <queryTableFields count="10">
      <queryTableField id="1" name="Question" tableColumnId="1"/>
      <queryTableField id="2" name="Chi2_Statistic" tableColumnId="2"/>
      <queryTableField id="3" name="P_Value" tableColumnId="3"/>
      <queryTableField id="4" name="Degrees_of_Freedom" tableColumnId="4"/>
      <queryTableField id="5" name="Sample_Size" tableColumnId="5"/>
      <queryTableField id="6" name="Statistical_Power" tableColumnId="6"/>
      <queryTableField id="7" name="Cramers_V_Effect_Size" tableColumnId="7"/>
      <queryTableField id="8" name="Insufficient_Data" tableColumnId="8"/>
      <queryTableField id="9" name="Reason" tableColumnId="9"/>
      <queryTableField id="10" name="Significant_at_0.05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B13F2-24AB-42A7-A9F6-BE1B1F9AFDF8}" name="gender_difference_analysis_results" displayName="gender_difference_analysis_results" ref="A1:J13" tableType="queryTable" totalsRowShown="0">
  <autoFilter ref="A1:J13" xr:uid="{EB6B13F2-24AB-42A7-A9F6-BE1B1F9AFDF8}"/>
  <tableColumns count="10">
    <tableColumn id="1" xr3:uid="{E5D873E0-1419-4691-BCBE-2BB6C39E70E7}" uniqueName="1" name="Question" queryTableFieldId="1" dataDxfId="1"/>
    <tableColumn id="2" xr3:uid="{157C354D-2995-45E4-9A41-600CF420C5E3}" uniqueName="2" name="Chi2_Statistic" queryTableFieldId="2"/>
    <tableColumn id="3" xr3:uid="{6C2AEAF2-D51F-42D3-9AA0-D28A18BA7103}" uniqueName="3" name="P_Value" queryTableFieldId="3"/>
    <tableColumn id="4" xr3:uid="{9B623014-3B10-4800-88FC-50180D38FA59}" uniqueName="4" name="Degrees_of_Freedom" queryTableFieldId="4"/>
    <tableColumn id="5" xr3:uid="{1316F369-58F0-46AA-8FE1-04C24B30843F}" uniqueName="5" name="Sample_Size" queryTableFieldId="5"/>
    <tableColumn id="6" xr3:uid="{9AD4EE86-3D38-4991-9F8A-C7D1EFC638AC}" uniqueName="6" name="Statistical_Power" queryTableFieldId="6"/>
    <tableColumn id="7" xr3:uid="{BFEEDDA3-BEAD-4ECF-A521-16A7B02FED3E}" uniqueName="7" name="Cramers_V_Effect_Size" queryTableFieldId="7"/>
    <tableColumn id="8" xr3:uid="{CED4412C-A211-4692-8365-B16B230AA291}" uniqueName="8" name="Insufficient_Data" queryTableFieldId="8"/>
    <tableColumn id="9" xr3:uid="{CD1CC80C-BC51-4DA1-A0D8-36660C82A3ED}" uniqueName="9" name="Reason" queryTableFieldId="9" dataDxfId="0"/>
    <tableColumn id="10" xr3:uid="{B5E294D0-1D72-4291-8BFE-EC52F1F8B267}" uniqueName="10" name="Significant_at_0.05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FFDF-4F6C-4751-8715-B21B4D0F5190}">
  <dimension ref="A1:L38"/>
  <sheetViews>
    <sheetView tabSelected="1" workbookViewId="0">
      <selection sqref="A1:B1"/>
    </sheetView>
    <sheetView tabSelected="1" zoomScale="85" zoomScaleNormal="85" workbookViewId="1">
      <selection activeCell="B33" sqref="B33:B35"/>
    </sheetView>
  </sheetViews>
  <sheetFormatPr defaultRowHeight="14.4" x14ac:dyDescent="0.3"/>
  <cols>
    <col min="1" max="1" width="4.88671875" customWidth="1"/>
    <col min="2" max="2" width="22.5546875" customWidth="1"/>
    <col min="3" max="3" width="3.33203125" customWidth="1"/>
    <col min="4" max="4" width="64.33203125" customWidth="1"/>
    <col min="5" max="6" width="8.21875" customWidth="1"/>
    <col min="11" max="11" width="12" bestFit="1" customWidth="1"/>
    <col min="12" max="12" width="7.109375" customWidth="1"/>
  </cols>
  <sheetData>
    <row r="1" spans="1:12" x14ac:dyDescent="0.3">
      <c r="G1" s="6" t="s">
        <v>77</v>
      </c>
      <c r="H1" s="6"/>
      <c r="I1" s="6"/>
      <c r="J1" s="6"/>
      <c r="K1" s="6"/>
      <c r="L1" s="6"/>
    </row>
    <row r="2" spans="1:12" x14ac:dyDescent="0.3">
      <c r="A2" s="10" t="s">
        <v>3</v>
      </c>
      <c r="B2" s="10"/>
      <c r="C2" s="10" t="s">
        <v>4</v>
      </c>
      <c r="D2" s="10"/>
      <c r="E2" s="1" t="s">
        <v>0</v>
      </c>
      <c r="F2" s="1" t="s">
        <v>66</v>
      </c>
      <c r="G2" s="1" t="s">
        <v>2</v>
      </c>
      <c r="H2" s="1" t="s">
        <v>66</v>
      </c>
      <c r="I2" s="1" t="s">
        <v>1</v>
      </c>
      <c r="J2" s="1" t="s">
        <v>66</v>
      </c>
      <c r="K2" t="s">
        <v>67</v>
      </c>
      <c r="L2" t="s">
        <v>68</v>
      </c>
    </row>
    <row r="3" spans="1:12" ht="19.2" customHeight="1" x14ac:dyDescent="0.3">
      <c r="A3" s="8" t="s">
        <v>8</v>
      </c>
      <c r="B3" s="9" t="s">
        <v>65</v>
      </c>
      <c r="C3" s="2" t="s">
        <v>5</v>
      </c>
      <c r="D3" s="3" t="s">
        <v>20</v>
      </c>
      <c r="E3" s="4">
        <f>+SUM(G3,I3)</f>
        <v>42</v>
      </c>
      <c r="F3" s="5">
        <f>E3/SUM(E$3:E$5)</f>
        <v>0.48275862068965519</v>
      </c>
      <c r="G3" s="4">
        <v>13</v>
      </c>
      <c r="H3" s="5">
        <f>G3/SUM(G$3:G$5)</f>
        <v>0.34210526315789475</v>
      </c>
      <c r="I3" s="4">
        <v>29</v>
      </c>
      <c r="J3" s="5">
        <f>I3/SUM(I$3:I$5)</f>
        <v>0.59183673469387754</v>
      </c>
      <c r="K3" s="7">
        <v>5.3671573458764597</v>
      </c>
      <c r="L3" s="7">
        <v>6.8318227567416095E-2</v>
      </c>
    </row>
    <row r="4" spans="1:12" x14ac:dyDescent="0.3">
      <c r="A4" s="8"/>
      <c r="B4" s="9"/>
      <c r="C4" s="1" t="s">
        <v>6</v>
      </c>
      <c r="D4" s="3" t="s">
        <v>21</v>
      </c>
      <c r="E4" s="4">
        <f t="shared" ref="E4:E38" si="0">+SUM(G4,I4)</f>
        <v>32</v>
      </c>
      <c r="F4" s="5">
        <f t="shared" ref="F4:F5" si="1">E4/SUM(E$3:E$5)</f>
        <v>0.36781609195402298</v>
      </c>
      <c r="G4" s="4">
        <v>18</v>
      </c>
      <c r="H4" s="5">
        <f t="shared" ref="H4:H38" si="2">G4/SUM(G$3:G$5)</f>
        <v>0.47368421052631576</v>
      </c>
      <c r="I4" s="4">
        <v>14</v>
      </c>
      <c r="J4" s="5">
        <f t="shared" ref="J4:J38" si="3">I4/SUM(I$3:I$5)</f>
        <v>0.2857142857142857</v>
      </c>
      <c r="K4" s="7"/>
      <c r="L4" s="7"/>
    </row>
    <row r="5" spans="1:12" x14ac:dyDescent="0.3">
      <c r="A5" s="8"/>
      <c r="B5" s="9"/>
      <c r="C5" s="1" t="s">
        <v>7</v>
      </c>
      <c r="D5" s="3" t="s">
        <v>22</v>
      </c>
      <c r="E5" s="4">
        <f t="shared" si="0"/>
        <v>13</v>
      </c>
      <c r="F5" s="5">
        <f t="shared" si="1"/>
        <v>0.14942528735632185</v>
      </c>
      <c r="G5" s="4">
        <v>7</v>
      </c>
      <c r="H5" s="5">
        <f t="shared" si="2"/>
        <v>0.18421052631578946</v>
      </c>
      <c r="I5" s="4">
        <v>6</v>
      </c>
      <c r="J5" s="5">
        <f t="shared" si="3"/>
        <v>0.12244897959183673</v>
      </c>
      <c r="K5" s="7"/>
      <c r="L5" s="7"/>
    </row>
    <row r="6" spans="1:12" x14ac:dyDescent="0.3">
      <c r="A6" s="8" t="s">
        <v>9</v>
      </c>
      <c r="B6" s="9" t="s">
        <v>64</v>
      </c>
      <c r="C6" s="2" t="s">
        <v>5</v>
      </c>
      <c r="D6" s="3" t="s">
        <v>23</v>
      </c>
      <c r="E6" s="4">
        <f t="shared" si="0"/>
        <v>20</v>
      </c>
      <c r="F6" s="5">
        <f>E6/SUM(E$6:E$8)</f>
        <v>0.22988505747126436</v>
      </c>
      <c r="G6" s="4">
        <v>11</v>
      </c>
      <c r="H6" s="5">
        <f t="shared" si="2"/>
        <v>0.28947368421052633</v>
      </c>
      <c r="I6" s="4">
        <v>9</v>
      </c>
      <c r="J6" s="5">
        <f t="shared" si="3"/>
        <v>0.18367346938775511</v>
      </c>
      <c r="K6" s="7">
        <v>3.5273492291653499</v>
      </c>
      <c r="L6" s="7">
        <v>0.17141382537917099</v>
      </c>
    </row>
    <row r="7" spans="1:12" x14ac:dyDescent="0.3">
      <c r="A7" s="8"/>
      <c r="B7" s="9"/>
      <c r="C7" s="1" t="s">
        <v>6</v>
      </c>
      <c r="D7" s="3" t="s">
        <v>24</v>
      </c>
      <c r="E7" s="4">
        <f t="shared" si="0"/>
        <v>51</v>
      </c>
      <c r="F7" s="5">
        <f t="shared" ref="F7:F8" si="4">E7/SUM(E$6:E$8)</f>
        <v>0.58620689655172409</v>
      </c>
      <c r="G7" s="4">
        <v>18</v>
      </c>
      <c r="H7" s="5">
        <f t="shared" si="2"/>
        <v>0.47368421052631576</v>
      </c>
      <c r="I7" s="4">
        <v>33</v>
      </c>
      <c r="J7" s="5">
        <f t="shared" si="3"/>
        <v>0.67346938775510201</v>
      </c>
      <c r="K7" s="7"/>
      <c r="L7" s="7"/>
    </row>
    <row r="8" spans="1:12" x14ac:dyDescent="0.3">
      <c r="A8" s="8"/>
      <c r="B8" s="9"/>
      <c r="C8" s="1" t="s">
        <v>7</v>
      </c>
      <c r="D8" s="3" t="s">
        <v>25</v>
      </c>
      <c r="E8" s="4">
        <f t="shared" si="0"/>
        <v>16</v>
      </c>
      <c r="F8" s="5">
        <f t="shared" si="4"/>
        <v>0.18390804597701149</v>
      </c>
      <c r="G8" s="4">
        <v>9</v>
      </c>
      <c r="H8" s="5">
        <f t="shared" si="2"/>
        <v>0.23684210526315788</v>
      </c>
      <c r="I8" s="4">
        <v>7</v>
      </c>
      <c r="J8" s="5">
        <f t="shared" si="3"/>
        <v>0.14285714285714285</v>
      </c>
      <c r="K8" s="7"/>
      <c r="L8" s="7"/>
    </row>
    <row r="9" spans="1:12" x14ac:dyDescent="0.3">
      <c r="A9" s="8" t="s">
        <v>10</v>
      </c>
      <c r="B9" s="9" t="s">
        <v>63</v>
      </c>
      <c r="C9" s="2" t="s">
        <v>5</v>
      </c>
      <c r="D9" s="3" t="s">
        <v>26</v>
      </c>
      <c r="E9" s="4">
        <f t="shared" si="0"/>
        <v>59</v>
      </c>
      <c r="F9" s="5">
        <f>E9/SUM(E$9:E$11)</f>
        <v>0.67816091954022983</v>
      </c>
      <c r="G9" s="4">
        <v>27</v>
      </c>
      <c r="H9" s="5">
        <f t="shared" si="2"/>
        <v>0.71052631578947367</v>
      </c>
      <c r="I9" s="4">
        <v>32</v>
      </c>
      <c r="J9" s="5">
        <f t="shared" si="3"/>
        <v>0.65306122448979587</v>
      </c>
      <c r="K9" s="7">
        <v>1.7509742241419799</v>
      </c>
      <c r="L9" s="7">
        <v>0.41665901060488503</v>
      </c>
    </row>
    <row r="10" spans="1:12" x14ac:dyDescent="0.3">
      <c r="A10" s="8"/>
      <c r="B10" s="9"/>
      <c r="C10" s="1" t="s">
        <v>6</v>
      </c>
      <c r="D10" s="3" t="s">
        <v>27</v>
      </c>
      <c r="E10" s="4">
        <f t="shared" si="0"/>
        <v>19</v>
      </c>
      <c r="F10" s="5">
        <f t="shared" ref="F10:F11" si="5">E10/SUM(E$9:E$11)</f>
        <v>0.21839080459770116</v>
      </c>
      <c r="G10" s="4">
        <v>6</v>
      </c>
      <c r="H10" s="5">
        <f t="shared" si="2"/>
        <v>0.15789473684210525</v>
      </c>
      <c r="I10" s="4">
        <v>13</v>
      </c>
      <c r="J10" s="5">
        <f t="shared" si="3"/>
        <v>0.26530612244897961</v>
      </c>
      <c r="K10" s="7"/>
      <c r="L10" s="7"/>
    </row>
    <row r="11" spans="1:12" x14ac:dyDescent="0.3">
      <c r="A11" s="8"/>
      <c r="B11" s="9"/>
      <c r="C11" s="1" t="s">
        <v>7</v>
      </c>
      <c r="D11" s="3" t="s">
        <v>28</v>
      </c>
      <c r="E11" s="4">
        <f t="shared" si="0"/>
        <v>9</v>
      </c>
      <c r="F11" s="5">
        <f t="shared" si="5"/>
        <v>0.10344827586206896</v>
      </c>
      <c r="G11" s="4">
        <v>5</v>
      </c>
      <c r="H11" s="5">
        <f t="shared" si="2"/>
        <v>0.13157894736842105</v>
      </c>
      <c r="I11" s="4">
        <v>4</v>
      </c>
      <c r="J11" s="5">
        <f t="shared" si="3"/>
        <v>8.1632653061224483E-2</v>
      </c>
      <c r="K11" s="7"/>
      <c r="L11" s="7"/>
    </row>
    <row r="12" spans="1:12" x14ac:dyDescent="0.3">
      <c r="A12" s="8" t="s">
        <v>11</v>
      </c>
      <c r="B12" s="9" t="s">
        <v>62</v>
      </c>
      <c r="C12" s="2" t="s">
        <v>5</v>
      </c>
      <c r="D12" s="3" t="s">
        <v>29</v>
      </c>
      <c r="E12" s="4">
        <f t="shared" si="0"/>
        <v>49</v>
      </c>
      <c r="F12" s="5">
        <f>E12/SUM(E$12:E$14)</f>
        <v>0.56321839080459768</v>
      </c>
      <c r="G12" s="4">
        <v>16</v>
      </c>
      <c r="H12" s="5">
        <f t="shared" si="2"/>
        <v>0.42105263157894735</v>
      </c>
      <c r="I12" s="4">
        <v>33</v>
      </c>
      <c r="J12" s="5">
        <f t="shared" si="3"/>
        <v>0.67346938775510201</v>
      </c>
      <c r="K12" s="7">
        <v>5.5735271662126404</v>
      </c>
      <c r="L12" s="7">
        <v>6.1620320591657403E-2</v>
      </c>
    </row>
    <row r="13" spans="1:12" x14ac:dyDescent="0.3">
      <c r="A13" s="8"/>
      <c r="B13" s="9"/>
      <c r="C13" s="1" t="s">
        <v>6</v>
      </c>
      <c r="D13" s="3" t="s">
        <v>30</v>
      </c>
      <c r="E13" s="4">
        <f t="shared" si="0"/>
        <v>22</v>
      </c>
      <c r="F13" s="5">
        <f t="shared" ref="F13:F14" si="6">E13/SUM(E$12:E$14)</f>
        <v>0.25287356321839083</v>
      </c>
      <c r="G13" s="4">
        <v>13</v>
      </c>
      <c r="H13" s="5">
        <f t="shared" si="2"/>
        <v>0.34210526315789475</v>
      </c>
      <c r="I13" s="4">
        <v>9</v>
      </c>
      <c r="J13" s="5">
        <f t="shared" si="3"/>
        <v>0.18367346938775511</v>
      </c>
      <c r="K13" s="7"/>
      <c r="L13" s="7"/>
    </row>
    <row r="14" spans="1:12" x14ac:dyDescent="0.3">
      <c r="A14" s="8"/>
      <c r="B14" s="9"/>
      <c r="C14" s="1" t="s">
        <v>7</v>
      </c>
      <c r="D14" s="3" t="s">
        <v>31</v>
      </c>
      <c r="E14" s="4">
        <f t="shared" si="0"/>
        <v>16</v>
      </c>
      <c r="F14" s="5">
        <f t="shared" si="6"/>
        <v>0.18390804597701149</v>
      </c>
      <c r="G14" s="4">
        <v>9</v>
      </c>
      <c r="H14" s="5">
        <f t="shared" si="2"/>
        <v>0.23684210526315788</v>
      </c>
      <c r="I14" s="4">
        <v>7</v>
      </c>
      <c r="J14" s="5">
        <f t="shared" si="3"/>
        <v>0.14285714285714285</v>
      </c>
      <c r="K14" s="7"/>
      <c r="L14" s="7"/>
    </row>
    <row r="15" spans="1:12" x14ac:dyDescent="0.3">
      <c r="A15" s="8" t="s">
        <v>12</v>
      </c>
      <c r="B15" s="9" t="s">
        <v>61</v>
      </c>
      <c r="C15" s="2" t="s">
        <v>5</v>
      </c>
      <c r="D15" s="3" t="s">
        <v>32</v>
      </c>
      <c r="E15" s="4">
        <f t="shared" si="0"/>
        <v>53</v>
      </c>
      <c r="F15" s="5">
        <f>E15/SUM(E$15:E$17)</f>
        <v>0.62352941176470589</v>
      </c>
      <c r="G15" s="4">
        <v>28</v>
      </c>
      <c r="H15" s="5">
        <f t="shared" si="2"/>
        <v>0.73684210526315785</v>
      </c>
      <c r="I15" s="4">
        <v>25</v>
      </c>
      <c r="J15" s="5">
        <f t="shared" si="3"/>
        <v>0.51020408163265307</v>
      </c>
      <c r="K15" s="7">
        <v>5.1661345897784603</v>
      </c>
      <c r="L15" s="7">
        <v>7.5541938895603997E-2</v>
      </c>
    </row>
    <row r="16" spans="1:12" x14ac:dyDescent="0.3">
      <c r="A16" s="8"/>
      <c r="B16" s="9"/>
      <c r="C16" s="1" t="s">
        <v>6</v>
      </c>
      <c r="D16" s="3" t="s">
        <v>33</v>
      </c>
      <c r="E16" s="4">
        <f t="shared" si="0"/>
        <v>12</v>
      </c>
      <c r="F16" s="5">
        <f t="shared" ref="F16:F17" si="7">E16/SUM(E$15:E$17)</f>
        <v>0.14117647058823529</v>
      </c>
      <c r="G16" s="4">
        <v>4</v>
      </c>
      <c r="H16" s="5">
        <f t="shared" si="2"/>
        <v>0.10526315789473684</v>
      </c>
      <c r="I16" s="4">
        <v>8</v>
      </c>
      <c r="J16" s="5">
        <f t="shared" si="3"/>
        <v>0.16326530612244897</v>
      </c>
      <c r="K16" s="7"/>
      <c r="L16" s="7"/>
    </row>
    <row r="17" spans="1:12" x14ac:dyDescent="0.3">
      <c r="A17" s="8"/>
      <c r="B17" s="9"/>
      <c r="C17" s="1" t="s">
        <v>7</v>
      </c>
      <c r="D17" s="3" t="s">
        <v>34</v>
      </c>
      <c r="E17" s="4">
        <f t="shared" si="0"/>
        <v>20</v>
      </c>
      <c r="F17" s="5">
        <f t="shared" si="7"/>
        <v>0.23529411764705882</v>
      </c>
      <c r="G17" s="4">
        <v>5</v>
      </c>
      <c r="H17" s="5">
        <f t="shared" si="2"/>
        <v>0.13157894736842105</v>
      </c>
      <c r="I17" s="4">
        <v>15</v>
      </c>
      <c r="J17" s="5">
        <f t="shared" si="3"/>
        <v>0.30612244897959184</v>
      </c>
      <c r="K17" s="7"/>
      <c r="L17" s="7"/>
    </row>
    <row r="18" spans="1:12" x14ac:dyDescent="0.3">
      <c r="A18" s="8" t="s">
        <v>13</v>
      </c>
      <c r="B18" s="9" t="s">
        <v>60</v>
      </c>
      <c r="C18" s="2" t="s">
        <v>5</v>
      </c>
      <c r="D18" s="3" t="s">
        <v>35</v>
      </c>
      <c r="E18" s="4">
        <f t="shared" si="0"/>
        <v>68</v>
      </c>
      <c r="F18" s="5">
        <f>E18/SUM(E$18:E$20)</f>
        <v>0.80952380952380953</v>
      </c>
      <c r="G18" s="4">
        <v>28</v>
      </c>
      <c r="H18" s="5">
        <f t="shared" si="2"/>
        <v>0.73684210526315785</v>
      </c>
      <c r="I18" s="4">
        <v>40</v>
      </c>
      <c r="J18" s="5">
        <f t="shared" si="3"/>
        <v>0.81632653061224492</v>
      </c>
      <c r="K18" s="7">
        <v>1.4476879883638301</v>
      </c>
      <c r="L18" s="7">
        <v>0.484884774713087</v>
      </c>
    </row>
    <row r="19" spans="1:12" x14ac:dyDescent="0.3">
      <c r="A19" s="8"/>
      <c r="B19" s="9"/>
      <c r="C19" s="1" t="s">
        <v>6</v>
      </c>
      <c r="D19" s="3" t="s">
        <v>36</v>
      </c>
      <c r="E19" s="4">
        <f t="shared" si="0"/>
        <v>8</v>
      </c>
      <c r="F19" s="5">
        <f t="shared" ref="F19:F20" si="8">E19/SUM(E$18:E$20)</f>
        <v>9.5238095238095233E-2</v>
      </c>
      <c r="G19" s="4">
        <v>4</v>
      </c>
      <c r="H19" s="5">
        <f t="shared" si="2"/>
        <v>0.10526315789473684</v>
      </c>
      <c r="I19" s="4">
        <v>4</v>
      </c>
      <c r="J19" s="5">
        <f t="shared" si="3"/>
        <v>8.1632653061224483E-2</v>
      </c>
      <c r="K19" s="7"/>
      <c r="L19" s="7"/>
    </row>
    <row r="20" spans="1:12" x14ac:dyDescent="0.3">
      <c r="A20" s="8"/>
      <c r="B20" s="9"/>
      <c r="C20" s="1" t="s">
        <v>7</v>
      </c>
      <c r="D20" s="3" t="s">
        <v>37</v>
      </c>
      <c r="E20" s="4">
        <f t="shared" si="0"/>
        <v>8</v>
      </c>
      <c r="F20" s="5">
        <f t="shared" si="8"/>
        <v>9.5238095238095233E-2</v>
      </c>
      <c r="G20" s="4">
        <v>5</v>
      </c>
      <c r="H20" s="5">
        <f t="shared" si="2"/>
        <v>0.13157894736842105</v>
      </c>
      <c r="I20" s="4">
        <v>3</v>
      </c>
      <c r="J20" s="5">
        <f t="shared" si="3"/>
        <v>6.1224489795918366E-2</v>
      </c>
      <c r="K20" s="7"/>
      <c r="L20" s="7"/>
    </row>
    <row r="21" spans="1:12" x14ac:dyDescent="0.3">
      <c r="A21" s="8" t="s">
        <v>14</v>
      </c>
      <c r="B21" s="9" t="s">
        <v>59</v>
      </c>
      <c r="C21" s="2" t="s">
        <v>5</v>
      </c>
      <c r="D21" s="3" t="s">
        <v>38</v>
      </c>
      <c r="E21" s="4">
        <f t="shared" si="0"/>
        <v>12</v>
      </c>
      <c r="F21" s="5">
        <f>E21/SUM(E$21:E$23)</f>
        <v>0.14117647058823529</v>
      </c>
      <c r="G21" s="4">
        <v>5</v>
      </c>
      <c r="H21" s="5">
        <f t="shared" si="2"/>
        <v>0.13157894736842105</v>
      </c>
      <c r="I21" s="4">
        <v>7</v>
      </c>
      <c r="J21" s="5">
        <f t="shared" si="3"/>
        <v>0.14285714285714285</v>
      </c>
      <c r="K21" s="7">
        <v>2.9236802592065798</v>
      </c>
      <c r="L21" s="7">
        <v>0.23180932282956099</v>
      </c>
    </row>
    <row r="22" spans="1:12" x14ac:dyDescent="0.3">
      <c r="A22" s="8"/>
      <c r="B22" s="9"/>
      <c r="C22" s="1" t="s">
        <v>6</v>
      </c>
      <c r="D22" s="3" t="s">
        <v>39</v>
      </c>
      <c r="E22" s="4">
        <f t="shared" si="0"/>
        <v>57</v>
      </c>
      <c r="F22" s="5">
        <f t="shared" ref="F22:F23" si="9">E22/SUM(E$21:E$23)</f>
        <v>0.6705882352941176</v>
      </c>
      <c r="G22" s="4">
        <v>22</v>
      </c>
      <c r="H22" s="5">
        <f t="shared" si="2"/>
        <v>0.57894736842105265</v>
      </c>
      <c r="I22" s="4">
        <v>35</v>
      </c>
      <c r="J22" s="5">
        <f t="shared" si="3"/>
        <v>0.7142857142857143</v>
      </c>
      <c r="K22" s="7"/>
      <c r="L22" s="7"/>
    </row>
    <row r="23" spans="1:12" x14ac:dyDescent="0.3">
      <c r="A23" s="8"/>
      <c r="B23" s="9"/>
      <c r="C23" s="1" t="s">
        <v>7</v>
      </c>
      <c r="D23" s="3" t="s">
        <v>40</v>
      </c>
      <c r="E23" s="4">
        <f t="shared" si="0"/>
        <v>16</v>
      </c>
      <c r="F23" s="5">
        <f t="shared" si="9"/>
        <v>0.18823529411764706</v>
      </c>
      <c r="G23" s="4">
        <v>10</v>
      </c>
      <c r="H23" s="5">
        <f t="shared" si="2"/>
        <v>0.26315789473684209</v>
      </c>
      <c r="I23" s="4">
        <v>6</v>
      </c>
      <c r="J23" s="5">
        <f t="shared" si="3"/>
        <v>0.12244897959183673</v>
      </c>
      <c r="K23" s="7"/>
      <c r="L23" s="7"/>
    </row>
    <row r="24" spans="1:12" x14ac:dyDescent="0.3">
      <c r="A24" s="8" t="s">
        <v>15</v>
      </c>
      <c r="B24" s="9" t="s">
        <v>58</v>
      </c>
      <c r="C24" s="2" t="s">
        <v>5</v>
      </c>
      <c r="D24" s="3" t="s">
        <v>41</v>
      </c>
      <c r="E24" s="4">
        <f t="shared" si="0"/>
        <v>41</v>
      </c>
      <c r="F24" s="5">
        <f>E24/SUM(E$24:E$26)</f>
        <v>0.4823529411764706</v>
      </c>
      <c r="G24" s="4">
        <v>17</v>
      </c>
      <c r="H24" s="5">
        <f t="shared" si="2"/>
        <v>0.44736842105263158</v>
      </c>
      <c r="I24" s="4">
        <v>24</v>
      </c>
      <c r="J24" s="5">
        <f t="shared" si="3"/>
        <v>0.48979591836734693</v>
      </c>
      <c r="K24" s="7">
        <v>1.1237456969164299</v>
      </c>
      <c r="L24" s="7">
        <v>0.57014027698458603</v>
      </c>
    </row>
    <row r="25" spans="1:12" x14ac:dyDescent="0.3">
      <c r="A25" s="8"/>
      <c r="B25" s="9"/>
      <c r="C25" s="1" t="s">
        <v>6</v>
      </c>
      <c r="D25" s="3" t="s">
        <v>42</v>
      </c>
      <c r="E25" s="4">
        <f t="shared" si="0"/>
        <v>12</v>
      </c>
      <c r="F25" s="5">
        <f t="shared" ref="F25:F26" si="10">E25/SUM(E$24:E$26)</f>
        <v>0.14117647058823529</v>
      </c>
      <c r="G25" s="4">
        <v>4</v>
      </c>
      <c r="H25" s="5">
        <f t="shared" si="2"/>
        <v>0.10526315789473684</v>
      </c>
      <c r="I25" s="4">
        <v>8</v>
      </c>
      <c r="J25" s="5">
        <f t="shared" si="3"/>
        <v>0.16326530612244897</v>
      </c>
      <c r="K25" s="7"/>
      <c r="L25" s="7"/>
    </row>
    <row r="26" spans="1:12" x14ac:dyDescent="0.3">
      <c r="A26" s="8"/>
      <c r="B26" s="9"/>
      <c r="C26" s="1" t="s">
        <v>7</v>
      </c>
      <c r="D26" s="3" t="s">
        <v>42</v>
      </c>
      <c r="E26" s="4">
        <f t="shared" si="0"/>
        <v>32</v>
      </c>
      <c r="F26" s="5">
        <f t="shared" si="10"/>
        <v>0.37647058823529411</v>
      </c>
      <c r="G26" s="4">
        <v>16</v>
      </c>
      <c r="H26" s="5">
        <f t="shared" si="2"/>
        <v>0.42105263157894735</v>
      </c>
      <c r="I26" s="4">
        <v>16</v>
      </c>
      <c r="J26" s="5">
        <f t="shared" si="3"/>
        <v>0.32653061224489793</v>
      </c>
      <c r="K26" s="7"/>
      <c r="L26" s="7"/>
    </row>
    <row r="27" spans="1:12" ht="19.2" customHeight="1" x14ac:dyDescent="0.3">
      <c r="A27" s="8" t="s">
        <v>18</v>
      </c>
      <c r="B27" s="9" t="s">
        <v>57</v>
      </c>
      <c r="C27" s="2" t="s">
        <v>5</v>
      </c>
      <c r="D27" s="3" t="s">
        <v>43</v>
      </c>
      <c r="E27" s="4">
        <f t="shared" si="0"/>
        <v>27</v>
      </c>
      <c r="F27" s="5">
        <f>E27/SUM(E$27:E$29)</f>
        <v>0.33333333333333331</v>
      </c>
      <c r="G27" s="4">
        <v>10</v>
      </c>
      <c r="H27" s="5">
        <f t="shared" si="2"/>
        <v>0.26315789473684209</v>
      </c>
      <c r="I27" s="4">
        <v>17</v>
      </c>
      <c r="J27" s="5">
        <f t="shared" si="3"/>
        <v>0.34693877551020408</v>
      </c>
      <c r="K27" s="7">
        <v>1.38827812465442</v>
      </c>
      <c r="L27" s="7">
        <v>0.49950430499242898</v>
      </c>
    </row>
    <row r="28" spans="1:12" x14ac:dyDescent="0.3">
      <c r="A28" s="8"/>
      <c r="B28" s="9"/>
      <c r="C28" s="1" t="s">
        <v>6</v>
      </c>
      <c r="D28" s="3" t="s">
        <v>44</v>
      </c>
      <c r="E28" s="4">
        <f t="shared" si="0"/>
        <v>31</v>
      </c>
      <c r="F28" s="5">
        <f t="shared" ref="F28:F29" si="11">E28/SUM(E$27:E$29)</f>
        <v>0.38271604938271603</v>
      </c>
      <c r="G28" s="4">
        <v>12</v>
      </c>
      <c r="H28" s="5">
        <f t="shared" si="2"/>
        <v>0.31578947368421051</v>
      </c>
      <c r="I28" s="4">
        <v>19</v>
      </c>
      <c r="J28" s="5">
        <f t="shared" si="3"/>
        <v>0.38775510204081631</v>
      </c>
      <c r="K28" s="7"/>
      <c r="L28" s="7"/>
    </row>
    <row r="29" spans="1:12" x14ac:dyDescent="0.3">
      <c r="A29" s="8"/>
      <c r="B29" s="9"/>
      <c r="C29" s="1" t="s">
        <v>7</v>
      </c>
      <c r="D29" s="3" t="s">
        <v>45</v>
      </c>
      <c r="E29" s="4">
        <f t="shared" si="0"/>
        <v>23</v>
      </c>
      <c r="F29" s="5">
        <f t="shared" si="11"/>
        <v>0.2839506172839506</v>
      </c>
      <c r="G29" s="4">
        <v>12</v>
      </c>
      <c r="H29" s="5">
        <f t="shared" si="2"/>
        <v>0.31578947368421051</v>
      </c>
      <c r="I29" s="4">
        <v>11</v>
      </c>
      <c r="J29" s="5">
        <f t="shared" si="3"/>
        <v>0.22448979591836735</v>
      </c>
      <c r="K29" s="7"/>
      <c r="L29" s="7"/>
    </row>
    <row r="30" spans="1:12" ht="19.2" customHeight="1" x14ac:dyDescent="0.3">
      <c r="A30" s="8" t="s">
        <v>17</v>
      </c>
      <c r="B30" s="9" t="s">
        <v>78</v>
      </c>
      <c r="C30" s="2" t="s">
        <v>5</v>
      </c>
      <c r="D30" s="3" t="s">
        <v>46</v>
      </c>
      <c r="E30" s="4">
        <f t="shared" si="0"/>
        <v>62</v>
      </c>
      <c r="F30" s="5">
        <f>E30/SUM(E$30:E$32)</f>
        <v>0.75609756097560976</v>
      </c>
      <c r="G30" s="4">
        <v>30</v>
      </c>
      <c r="H30" s="5">
        <f t="shared" si="2"/>
        <v>0.78947368421052633</v>
      </c>
      <c r="I30" s="4">
        <v>32</v>
      </c>
      <c r="J30" s="5">
        <f t="shared" si="3"/>
        <v>0.65306122448979587</v>
      </c>
      <c r="K30" s="7">
        <v>2.3465690094021099</v>
      </c>
      <c r="L30" s="7">
        <v>0.30934921187127201</v>
      </c>
    </row>
    <row r="31" spans="1:12" x14ac:dyDescent="0.3">
      <c r="A31" s="8"/>
      <c r="B31" s="9"/>
      <c r="C31" s="1" t="s">
        <v>6</v>
      </c>
      <c r="D31" s="3" t="s">
        <v>47</v>
      </c>
      <c r="E31" s="4">
        <f t="shared" si="0"/>
        <v>15</v>
      </c>
      <c r="F31" s="5">
        <f t="shared" ref="F31:F32" si="12">E31/SUM(E$30:E$32)</f>
        <v>0.18292682926829268</v>
      </c>
      <c r="G31" s="4">
        <v>5</v>
      </c>
      <c r="H31" s="5">
        <f t="shared" si="2"/>
        <v>0.13157894736842105</v>
      </c>
      <c r="I31" s="4">
        <v>10</v>
      </c>
      <c r="J31" s="5">
        <f t="shared" si="3"/>
        <v>0.20408163265306123</v>
      </c>
      <c r="K31" s="7"/>
      <c r="L31" s="7"/>
    </row>
    <row r="32" spans="1:12" x14ac:dyDescent="0.3">
      <c r="A32" s="8"/>
      <c r="B32" s="9"/>
      <c r="C32" s="1" t="s">
        <v>7</v>
      </c>
      <c r="D32" s="3" t="s">
        <v>48</v>
      </c>
      <c r="E32" s="4">
        <f t="shared" si="0"/>
        <v>5</v>
      </c>
      <c r="F32" s="5">
        <f t="shared" si="12"/>
        <v>6.097560975609756E-2</v>
      </c>
      <c r="G32" s="4">
        <v>1</v>
      </c>
      <c r="H32" s="5">
        <f t="shared" si="2"/>
        <v>2.6315789473684209E-2</v>
      </c>
      <c r="I32" s="4">
        <v>4</v>
      </c>
      <c r="J32" s="5">
        <f t="shared" si="3"/>
        <v>8.1632653061224483E-2</v>
      </c>
      <c r="K32" s="7"/>
      <c r="L32" s="7"/>
    </row>
    <row r="33" spans="1:12" ht="19.2" customHeight="1" x14ac:dyDescent="0.3">
      <c r="A33" s="8" t="s">
        <v>16</v>
      </c>
      <c r="B33" s="9" t="s">
        <v>56</v>
      </c>
      <c r="C33" s="2" t="s">
        <v>5</v>
      </c>
      <c r="D33" s="3" t="s">
        <v>49</v>
      </c>
      <c r="E33" s="4">
        <f t="shared" si="0"/>
        <v>66</v>
      </c>
      <c r="F33" s="5">
        <f>E33/SUM(E$33:E$35)</f>
        <v>0.77647058823529413</v>
      </c>
      <c r="G33" s="4">
        <v>31</v>
      </c>
      <c r="H33" s="5">
        <f t="shared" si="2"/>
        <v>0.81578947368421051</v>
      </c>
      <c r="I33" s="4">
        <v>35</v>
      </c>
      <c r="J33" s="5">
        <f t="shared" si="3"/>
        <v>0.7142857142857143</v>
      </c>
      <c r="K33" s="7">
        <v>0.48744130265869401</v>
      </c>
      <c r="L33" s="7">
        <v>0.78370653106480903</v>
      </c>
    </row>
    <row r="34" spans="1:12" x14ac:dyDescent="0.3">
      <c r="A34" s="8"/>
      <c r="B34" s="9"/>
      <c r="C34" s="1" t="s">
        <v>6</v>
      </c>
      <c r="D34" s="3" t="s">
        <v>50</v>
      </c>
      <c r="E34" s="4">
        <f t="shared" si="0"/>
        <v>11</v>
      </c>
      <c r="F34" s="5">
        <f t="shared" ref="F34:F35" si="13">E34/SUM(E$33:E$35)</f>
        <v>0.12941176470588237</v>
      </c>
      <c r="G34" s="4">
        <v>4</v>
      </c>
      <c r="H34" s="5">
        <f t="shared" si="2"/>
        <v>0.10526315789473684</v>
      </c>
      <c r="I34" s="4">
        <v>7</v>
      </c>
      <c r="J34" s="5">
        <f t="shared" si="3"/>
        <v>0.14285714285714285</v>
      </c>
      <c r="K34" s="7"/>
      <c r="L34" s="7"/>
    </row>
    <row r="35" spans="1:12" x14ac:dyDescent="0.3">
      <c r="A35" s="8"/>
      <c r="B35" s="9"/>
      <c r="C35" s="1" t="s">
        <v>7</v>
      </c>
      <c r="D35" s="3" t="s">
        <v>51</v>
      </c>
      <c r="E35" s="4">
        <f t="shared" si="0"/>
        <v>8</v>
      </c>
      <c r="F35" s="5">
        <f t="shared" si="13"/>
        <v>9.4117647058823528E-2</v>
      </c>
      <c r="G35" s="4">
        <v>4</v>
      </c>
      <c r="H35" s="5">
        <f t="shared" si="2"/>
        <v>0.10526315789473684</v>
      </c>
      <c r="I35" s="4">
        <v>4</v>
      </c>
      <c r="J35" s="5">
        <f t="shared" si="3"/>
        <v>8.1632653061224483E-2</v>
      </c>
      <c r="K35" s="7"/>
      <c r="L35" s="7"/>
    </row>
    <row r="36" spans="1:12" x14ac:dyDescent="0.3">
      <c r="A36" s="8" t="s">
        <v>19</v>
      </c>
      <c r="B36" s="9" t="s">
        <v>55</v>
      </c>
      <c r="C36" s="2" t="s">
        <v>5</v>
      </c>
      <c r="D36" s="3" t="s">
        <v>52</v>
      </c>
      <c r="E36" s="4">
        <f t="shared" si="0"/>
        <v>22</v>
      </c>
      <c r="F36" s="5">
        <f>E36/SUM(E$36:E$38)</f>
        <v>0.26506024096385544</v>
      </c>
      <c r="G36" s="4">
        <v>7</v>
      </c>
      <c r="H36" s="5">
        <f t="shared" si="2"/>
        <v>0.18421052631578946</v>
      </c>
      <c r="I36" s="4">
        <v>15</v>
      </c>
      <c r="J36" s="5">
        <f t="shared" si="3"/>
        <v>0.30612244897959184</v>
      </c>
      <c r="K36" s="7">
        <v>8.2132976335458601</v>
      </c>
      <c r="L36" s="7">
        <v>1.6462852221256999E-2</v>
      </c>
    </row>
    <row r="37" spans="1:12" x14ac:dyDescent="0.3">
      <c r="A37" s="8"/>
      <c r="B37" s="9"/>
      <c r="C37" s="1" t="s">
        <v>6</v>
      </c>
      <c r="D37" s="3" t="s">
        <v>53</v>
      </c>
      <c r="E37" s="4">
        <f t="shared" si="0"/>
        <v>36</v>
      </c>
      <c r="F37" s="5">
        <f t="shared" ref="F37:F38" si="14">E37/SUM(E$36:E$38)</f>
        <v>0.43373493975903615</v>
      </c>
      <c r="G37" s="4">
        <v>22</v>
      </c>
      <c r="H37" s="5">
        <f t="shared" si="2"/>
        <v>0.57894736842105265</v>
      </c>
      <c r="I37" s="4">
        <v>14</v>
      </c>
      <c r="J37" s="5">
        <f t="shared" si="3"/>
        <v>0.2857142857142857</v>
      </c>
      <c r="K37" s="7"/>
      <c r="L37" s="7"/>
    </row>
    <row r="38" spans="1:12" x14ac:dyDescent="0.3">
      <c r="A38" s="8"/>
      <c r="B38" s="9"/>
      <c r="C38" s="1" t="s">
        <v>7</v>
      </c>
      <c r="D38" s="3" t="s">
        <v>54</v>
      </c>
      <c r="E38" s="4">
        <f t="shared" si="0"/>
        <v>25</v>
      </c>
      <c r="F38" s="5">
        <f t="shared" si="14"/>
        <v>0.30120481927710846</v>
      </c>
      <c r="G38" s="4">
        <v>7</v>
      </c>
      <c r="H38" s="5">
        <f t="shared" si="2"/>
        <v>0.18421052631578946</v>
      </c>
      <c r="I38" s="4">
        <v>18</v>
      </c>
      <c r="J38" s="5">
        <f t="shared" si="3"/>
        <v>0.36734693877551022</v>
      </c>
      <c r="K38" s="7"/>
      <c r="L38" s="7"/>
    </row>
  </sheetData>
  <mergeCells count="51">
    <mergeCell ref="C2:D2"/>
    <mergeCell ref="A2:B2"/>
    <mergeCell ref="B3:B5"/>
    <mergeCell ref="B6:B8"/>
    <mergeCell ref="B9:B11"/>
    <mergeCell ref="A9:A11"/>
    <mergeCell ref="A6:A8"/>
    <mergeCell ref="A3:A5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A36:A38"/>
    <mergeCell ref="A33:A35"/>
    <mergeCell ref="A30:A32"/>
    <mergeCell ref="A27:A29"/>
    <mergeCell ref="A24:A26"/>
    <mergeCell ref="A21:A23"/>
    <mergeCell ref="A18:A20"/>
    <mergeCell ref="A15:A17"/>
    <mergeCell ref="A12:A14"/>
    <mergeCell ref="K36:K38"/>
    <mergeCell ref="L36:L38"/>
    <mergeCell ref="K33:K35"/>
    <mergeCell ref="L33:L35"/>
    <mergeCell ref="K30:K32"/>
    <mergeCell ref="L30:L32"/>
    <mergeCell ref="K27:K29"/>
    <mergeCell ref="L27:L29"/>
    <mergeCell ref="K24:K26"/>
    <mergeCell ref="L24:L26"/>
    <mergeCell ref="K21:K23"/>
    <mergeCell ref="L21:L23"/>
    <mergeCell ref="K18:K20"/>
    <mergeCell ref="L18:L20"/>
    <mergeCell ref="K15:K17"/>
    <mergeCell ref="L15:L17"/>
    <mergeCell ref="K12:K14"/>
    <mergeCell ref="L12:L14"/>
    <mergeCell ref="G1:L1"/>
    <mergeCell ref="K9:K11"/>
    <mergeCell ref="L9:L11"/>
    <mergeCell ref="K6:K8"/>
    <mergeCell ref="L6:L8"/>
    <mergeCell ref="K3:K5"/>
    <mergeCell ref="L3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1761-44A1-4731-A2DD-6E9C8889EA1E}">
  <dimension ref="A1:J13"/>
  <sheetViews>
    <sheetView workbookViewId="0"/>
    <sheetView workbookViewId="1">
      <selection activeCell="B1" sqref="B1:C1"/>
    </sheetView>
  </sheetViews>
  <sheetFormatPr defaultRowHeight="14.4" x14ac:dyDescent="0.3"/>
  <cols>
    <col min="1" max="1" width="11.21875" bestFit="1" customWidth="1"/>
    <col min="2" max="2" width="15.44140625" bestFit="1" customWidth="1"/>
    <col min="3" max="3" width="12" bestFit="1" customWidth="1"/>
    <col min="4" max="4" width="22.109375" bestFit="1" customWidth="1"/>
    <col min="5" max="5" width="14.109375" bestFit="1" customWidth="1"/>
    <col min="6" max="6" width="18.33203125" bestFit="1" customWidth="1"/>
    <col min="7" max="7" width="23.5546875" bestFit="1" customWidth="1"/>
    <col min="8" max="8" width="18.33203125" bestFit="1" customWidth="1"/>
    <col min="9" max="9" width="25.44140625" bestFit="1" customWidth="1"/>
    <col min="10" max="10" width="19.5546875" bestFit="1" customWidth="1"/>
  </cols>
  <sheetData>
    <row r="1" spans="1:10" x14ac:dyDescent="0.3">
      <c r="A1" t="s">
        <v>3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0" x14ac:dyDescent="0.3">
      <c r="A2" t="s">
        <v>8</v>
      </c>
      <c r="B2">
        <v>5367157345876465</v>
      </c>
      <c r="C2">
        <v>6831822756741608</v>
      </c>
      <c r="D2">
        <v>2</v>
      </c>
      <c r="E2">
        <v>870</v>
      </c>
      <c r="F2">
        <v>10</v>
      </c>
      <c r="G2">
        <v>1.7613639856946104E+16</v>
      </c>
      <c r="H2" t="b">
        <v>0</v>
      </c>
      <c r="I2" t="s">
        <v>76</v>
      </c>
      <c r="J2" t="b">
        <v>0</v>
      </c>
    </row>
    <row r="3" spans="1:10" x14ac:dyDescent="0.3">
      <c r="A3" t="s">
        <v>9</v>
      </c>
      <c r="B3">
        <v>3527349229165348</v>
      </c>
      <c r="C3">
        <v>1.7141382537917116E+16</v>
      </c>
      <c r="D3">
        <v>2</v>
      </c>
      <c r="E3">
        <v>870</v>
      </c>
      <c r="F3">
        <v>10</v>
      </c>
      <c r="G3">
        <v>1427911128281094</v>
      </c>
      <c r="H3" t="b">
        <v>0</v>
      </c>
      <c r="I3" t="s">
        <v>76</v>
      </c>
      <c r="J3" t="b">
        <v>0</v>
      </c>
    </row>
    <row r="4" spans="1:10" x14ac:dyDescent="0.3">
      <c r="A4" t="s">
        <v>10</v>
      </c>
      <c r="B4">
        <v>1.7509742241419784E+16</v>
      </c>
      <c r="C4">
        <v>4166590106048853</v>
      </c>
      <c r="D4">
        <v>2</v>
      </c>
      <c r="E4">
        <v>870</v>
      </c>
      <c r="F4">
        <v>10</v>
      </c>
      <c r="G4">
        <v>1.0060436516293924E+16</v>
      </c>
      <c r="H4" t="b">
        <v>0</v>
      </c>
      <c r="I4" t="s">
        <v>76</v>
      </c>
      <c r="J4" t="b">
        <v>0</v>
      </c>
    </row>
    <row r="5" spans="1:10" x14ac:dyDescent="0.3">
      <c r="A5" t="s">
        <v>11</v>
      </c>
      <c r="B5">
        <v>5573527166212642</v>
      </c>
      <c r="C5">
        <v>6162032059165743</v>
      </c>
      <c r="D5">
        <v>2</v>
      </c>
      <c r="E5">
        <v>870</v>
      </c>
      <c r="F5">
        <v>10</v>
      </c>
      <c r="G5">
        <v>1.7949072409434208E+16</v>
      </c>
      <c r="H5" t="b">
        <v>0</v>
      </c>
      <c r="I5" t="s">
        <v>76</v>
      </c>
      <c r="J5" t="b">
        <v>0</v>
      </c>
    </row>
    <row r="6" spans="1:10" x14ac:dyDescent="0.3">
      <c r="A6" t="s">
        <v>12</v>
      </c>
      <c r="B6">
        <v>5166134589778457</v>
      </c>
      <c r="C6">
        <v>7554193889560402</v>
      </c>
      <c r="D6">
        <v>2</v>
      </c>
      <c r="E6">
        <v>850</v>
      </c>
      <c r="F6">
        <v>10</v>
      </c>
      <c r="G6">
        <v>1.7483947988512132E+16</v>
      </c>
      <c r="H6" t="b">
        <v>0</v>
      </c>
      <c r="I6" t="s">
        <v>76</v>
      </c>
      <c r="J6" t="b">
        <v>0</v>
      </c>
    </row>
    <row r="7" spans="1:10" x14ac:dyDescent="0.3">
      <c r="A7" t="s">
        <v>13</v>
      </c>
      <c r="B7">
        <v>1447687988363833</v>
      </c>
      <c r="C7">
        <v>4.8488477471308744E+16</v>
      </c>
      <c r="D7">
        <v>2</v>
      </c>
      <c r="E7">
        <v>840</v>
      </c>
      <c r="F7">
        <v>10</v>
      </c>
      <c r="G7">
        <v>9310633893287840</v>
      </c>
      <c r="H7" t="b">
        <v>0</v>
      </c>
      <c r="I7" t="s">
        <v>76</v>
      </c>
      <c r="J7" t="b">
        <v>0</v>
      </c>
    </row>
    <row r="8" spans="1:10" x14ac:dyDescent="0.3">
      <c r="A8" t="s">
        <v>14</v>
      </c>
      <c r="B8">
        <v>2.9236802592065752E+16</v>
      </c>
      <c r="C8">
        <v>2.3180932282956104E+16</v>
      </c>
      <c r="D8">
        <v>2</v>
      </c>
      <c r="E8">
        <v>850</v>
      </c>
      <c r="F8">
        <v>10</v>
      </c>
      <c r="G8">
        <v>1.3152902033608954E+16</v>
      </c>
      <c r="H8" t="b">
        <v>0</v>
      </c>
      <c r="I8" t="s">
        <v>76</v>
      </c>
      <c r="J8" t="b">
        <v>0</v>
      </c>
    </row>
    <row r="9" spans="1:10" x14ac:dyDescent="0.3">
      <c r="A9" t="s">
        <v>15</v>
      </c>
      <c r="B9">
        <v>1.1237456969164286E+16</v>
      </c>
      <c r="C9">
        <v>5701402769845858</v>
      </c>
      <c r="D9">
        <v>2</v>
      </c>
      <c r="E9">
        <v>850</v>
      </c>
      <c r="F9">
        <v>10</v>
      </c>
      <c r="G9">
        <v>8154374790252593</v>
      </c>
      <c r="H9" t="b">
        <v>0</v>
      </c>
      <c r="I9" t="s">
        <v>76</v>
      </c>
      <c r="J9" t="b">
        <v>0</v>
      </c>
    </row>
    <row r="10" spans="1:10" x14ac:dyDescent="0.3">
      <c r="A10" t="s">
        <v>18</v>
      </c>
      <c r="B10">
        <v>1.3882781246544154E+16</v>
      </c>
      <c r="C10">
        <v>4995043049924287</v>
      </c>
      <c r="D10">
        <v>2</v>
      </c>
      <c r="E10">
        <v>810</v>
      </c>
      <c r="F10">
        <v>10</v>
      </c>
      <c r="G10">
        <v>9285927791420696</v>
      </c>
      <c r="H10" t="b">
        <v>0</v>
      </c>
      <c r="I10" t="s">
        <v>76</v>
      </c>
      <c r="J10" t="b">
        <v>0</v>
      </c>
    </row>
    <row r="11" spans="1:10" x14ac:dyDescent="0.3">
      <c r="A11" t="s">
        <v>17</v>
      </c>
      <c r="B11">
        <v>234656900940211</v>
      </c>
      <c r="C11">
        <v>3093492118712724</v>
      </c>
      <c r="D11">
        <v>2</v>
      </c>
      <c r="E11">
        <v>820</v>
      </c>
      <c r="F11">
        <v>10</v>
      </c>
      <c r="G11">
        <v>1.1998386929932492E+16</v>
      </c>
      <c r="H11" t="b">
        <v>0</v>
      </c>
      <c r="I11" t="s">
        <v>76</v>
      </c>
      <c r="J11" t="b">
        <v>0</v>
      </c>
    </row>
    <row r="12" spans="1:10" x14ac:dyDescent="0.3">
      <c r="A12" t="s">
        <v>16</v>
      </c>
      <c r="B12">
        <v>4874413026586939</v>
      </c>
      <c r="C12">
        <v>7837065310648088</v>
      </c>
      <c r="D12">
        <v>2</v>
      </c>
      <c r="E12">
        <v>850</v>
      </c>
      <c r="F12">
        <v>10</v>
      </c>
      <c r="G12">
        <v>5370538206799384</v>
      </c>
      <c r="H12" t="b">
        <v>0</v>
      </c>
      <c r="I12" t="s">
        <v>76</v>
      </c>
      <c r="J12" t="b">
        <v>0</v>
      </c>
    </row>
    <row r="13" spans="1:10" x14ac:dyDescent="0.3">
      <c r="A13" t="s">
        <v>19</v>
      </c>
      <c r="B13">
        <v>821329763354586</v>
      </c>
      <c r="C13">
        <v>1646285222125698</v>
      </c>
      <c r="D13">
        <v>2</v>
      </c>
      <c r="E13">
        <v>830</v>
      </c>
      <c r="F13">
        <v>10</v>
      </c>
      <c r="G13">
        <v>2.2310885552893112E+16</v>
      </c>
      <c r="H13" t="b">
        <v>0</v>
      </c>
      <c r="I13" t="s">
        <v>76</v>
      </c>
      <c r="J13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F3AE-718F-4EAA-9151-C5E1BF87FED3}">
  <dimension ref="A1"/>
  <sheetViews>
    <sheetView workbookViewId="0"/>
    <sheetView workbookViewId="1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B3A6C-CB92-471E-A06D-EFA6B89E7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gender_difference_analysis_resu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Graça Jorge da Silva Ribeiro, Maria Inês</dc:creator>
  <cp:lastModifiedBy>Da Graça Jorge da Silva Ribeiro, Maria Inês</cp:lastModifiedBy>
  <dcterms:created xsi:type="dcterms:W3CDTF">2025-03-16T08:19:23Z</dcterms:created>
  <dcterms:modified xsi:type="dcterms:W3CDTF">2025-12-02T09:34:49Z</dcterms:modified>
</cp:coreProperties>
</file>